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<sst xmlns="http://schemas.openxmlformats.org/spreadsheetml/2006/main" count="208" uniqueCount="110">
  <si>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</si>
  <si>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</si>
  <si>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</si>
  <si>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</si>
  <si>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</si>
  <si>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</si>
  <si>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</si>
  <si>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</si>
  <si>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</si>
  <si>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</si>
  <si>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PleasantDiscovery Unipessoal LDA</t>
  </si>
  <si>
    <t>25 SG HD Downtown &amp; Bolhão Market Food Tour (pp)</t>
  </si>
  <si>
    <t>75.65</t>
  </si>
  <si>
    <t>85.00</t>
  </si>
  <si>
    <t>EUR</t>
  </si>
  <si>
    <t>25 Priv HD Downtown &amp; Bolhão Market Food Tour (1 pax)</t>
  </si>
  <si>
    <t>289.00</t>
  </si>
  <si>
    <t>340.00</t>
  </si>
  <si>
    <t>25 Priv HD Downtown &amp; Bolhão Market Food Tour (2 pax)</t>
  </si>
  <si>
    <t>561.00</t>
  </si>
  <si>
    <t>596.00</t>
  </si>
  <si>
    <t>25 Priv HD Downtown &amp; Bolhão Market Food Tour (4 pax)</t>
  </si>
  <si>
    <t>754.80</t>
  </si>
  <si>
    <t>748.00</t>
  </si>
  <si>
    <t>25 Priv HD Downtown &amp; Bolhão Market Food Tour (6 pax)</t>
  </si>
  <si>
    <t>816.00</t>
  </si>
  <si>
    <t>25 Priv HD Downtown &amp; Bolhão Market Food Tour  (8 pax)</t>
  </si>
  <si>
    <t>911.20</t>
  </si>
  <si>
    <t>888.00</t>
  </si>
  <si>
    <t>25 Priv HD Downtown &amp; Bolhão Market Food Tour (10 pax)</t>
  </si>
  <si>
    <t>977.50</t>
  </si>
  <si>
    <t>1020.00</t>
  </si>
  <si>
    <t>25 Priv HD Downtown &amp; Bolhão Market Food Tour (12 pax)</t>
  </si>
  <si>
    <t>1091.40</t>
  </si>
  <si>
    <t>1224.00</t>
  </si>
  <si>
    <t>25 Priv HD Downtown &amp; Bolhão Market Food Tour (14 pax)</t>
  </si>
  <si>
    <t>1273.30</t>
  </si>
  <si>
    <t>1428.00</t>
  </si>
  <si>
    <t>25 Priv HD Downtown &amp; Bolhão Market Food Tour (15 pax)</t>
  </si>
  <si>
    <t>1364.25</t>
  </si>
  <si>
    <t>1530.00</t>
  </si>
  <si>
    <t>25 SG HD Vintage &amp; Port Wine Food Tour (pp)</t>
  </si>
  <si>
    <t>72.25</t>
  </si>
  <si>
    <t>79.00</t>
  </si>
  <si>
    <t>25 Priv HD Vintage &amp; Port Wine Food Tour (1 pax)</t>
  </si>
  <si>
    <t>268.60</t>
  </si>
  <si>
    <t>316.00</t>
  </si>
  <si>
    <t>25 Priv HD Vintage &amp; Port Wine Food Tour (2 pax)</t>
  </si>
  <si>
    <t>470.90</t>
  </si>
  <si>
    <t>554.00</t>
  </si>
  <si>
    <t>25 Priv HD Vintage &amp; Port Wine Food Tour (4 pax)</t>
  </si>
  <si>
    <t>591.60</t>
  </si>
  <si>
    <t>696.00</t>
  </si>
  <si>
    <t>25 Priv HD Vintage &amp; Port Wine Food Tour (6 pax)</t>
  </si>
  <si>
    <t>647.70</t>
  </si>
  <si>
    <t>762.00</t>
  </si>
  <si>
    <t>25 Priv HD Vintage &amp; Port Wine Food Tour (8 pax)</t>
  </si>
  <si>
    <t>700.40</t>
  </si>
  <si>
    <t>824.00</t>
  </si>
  <si>
    <t>25 Priv HD Vintage &amp; Port Wine Food Tour (10 pax)</t>
  </si>
  <si>
    <t>807.50</t>
  </si>
  <si>
    <t>950.00</t>
  </si>
  <si>
    <t>25 Priv HD Vintage &amp; Port Wine Food Tour (12 pax)</t>
  </si>
  <si>
    <t>969.00</t>
  </si>
  <si>
    <t>1140.00</t>
  </si>
  <si>
    <t>25 Priv HD Vintage &amp; Port Wine Food Tour (14 pax)</t>
  </si>
  <si>
    <t>1130.50</t>
  </si>
  <si>
    <t>1330.00</t>
  </si>
  <si>
    <t>25 Priv HD Vintage &amp; Port Wine Food Tour (15 pax)</t>
  </si>
  <si>
    <t>1211.25</t>
  </si>
  <si>
    <t>1425.00</t>
  </si>
  <si>
    <t>25 Priv HD Porto Cooking Class (2 pax )</t>
  </si>
  <si>
    <t>297.50</t>
  </si>
  <si>
    <t>175.00</t>
  </si>
  <si>
    <t>25 Priv HD Porto Cooking Class (4 pax )</t>
  </si>
  <si>
    <t>510.00</t>
  </si>
  <si>
    <t>150.00</t>
  </si>
  <si>
    <t>25 Priv HD Porto Cooking Class (6 pax)</t>
  </si>
  <si>
    <t>637.50</t>
  </si>
  <si>
    <t>125.00</t>
  </si>
  <si>
    <t>25 SG HD Craft Beer &amp; Food Tour (pp)</t>
  </si>
  <si>
    <t>58.65</t>
  </si>
  <si>
    <t>69.00</t>
  </si>
  <si>
    <t>25 Priv HD Craft Beer &amp; Food Tour (1 pax)</t>
  </si>
  <si>
    <t>234.60</t>
  </si>
  <si>
    <t>276.00</t>
  </si>
  <si>
    <t>25 Priv HD Craft Beer &amp; Food Tour (2 pax)</t>
  </si>
  <si>
    <t>416.50</t>
  </si>
  <si>
    <t>490.00</t>
  </si>
  <si>
    <t>25 Priv HD Craft Beer &amp; Food Tour (4 pax)</t>
  </si>
  <si>
    <t>518.50</t>
  </si>
  <si>
    <t>610.00</t>
  </si>
  <si>
    <t>25 Priv HD Craft Beer &amp; Food Tour (6 pax)</t>
  </si>
  <si>
    <t>571.20</t>
  </si>
  <si>
    <t>672.00</t>
  </si>
  <si>
    <t>25 Priv HD Craft Beer &amp; Food Tour (8 pax)</t>
  </si>
  <si>
    <t>639.20</t>
  </si>
  <si>
    <t>752.00</t>
  </si>
  <si>
    <t>25 Priv HD Craft Beer &amp; Food Tour (10 pax)</t>
  </si>
  <si>
    <t>705.50</t>
  </si>
  <si>
    <t>830.00</t>
  </si>
  <si>
    <t>25 Priv HD Craft Beer &amp; Food Tour (12 pax)</t>
  </si>
  <si>
    <t>846.60</t>
  </si>
  <si>
    <t>996.00</t>
  </si>
  <si>
    <t xml:space="preserve">25 Priv HD Craft Beer &amp; Food Tour (14 pax) </t>
  </si>
  <si>
    <t>987.70</t>
  </si>
  <si>
    <t>571.20 X 2</t>
  </si>
  <si>
    <t xml:space="preserve">25 Priv HD Craft Beer &amp; Food Tour (15 pax) </t>
  </si>
  <si>
    <t>1058.25</t>
  </si>
  <si>
    <t>639.2 X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</si>
</sst>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2" fontId="1" numFmtId="2" xfId="0" applyAlignment="1" applyFont="1" applyNumberFormat="1">
      <alignment vertical="bottom"/>
    </xf>
    <xf borderId="0" fillId="2" fontId="3" numFmtId="2" xfId="0" applyAlignment="1" applyFont="1" applyNumberFormat="1">
      <alignment readingOrder="0"/>
    </xf>
    <xf borderId="0" fillId="2" fontId="1" numFmtId="0" xfId="0" applyAlignment="1" applyFont="1">
      <alignment horizontal="right" readingOrder="0" vertical="bottom"/>
    </xf>
    <xf borderId="0" fillId="2" fontId="1" numFmtId="2" xfId="0" applyAlignment="1" applyFont="1" applyNumberFormat="1">
      <alignment horizontal="left" readingOrder="0" vertical="bottom"/>
    </xf>
    <xf borderId="0" fillId="2" fontId="3" numFmtId="2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5" max="5" width="44.63"/>
    <col customWidth="1" min="6" max="7" width="19.25"/>
    <col hidden="1" min="13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/>
      <c r="B2" s="1"/>
      <c r="C2" s="6" t="s">
        <v>10</v>
      </c>
      <c r="D2" s="7">
        <v>211.0</v>
      </c>
      <c r="E2" s="8" t="s">
        <v>11</v>
      </c>
      <c r="F2" s="9">
        <v>89.0</v>
      </c>
      <c r="G2" s="10" t="s">
        <v>12</v>
      </c>
      <c r="H2" s="10" t="s">
        <v>13</v>
      </c>
      <c r="I2" s="10" t="s">
        <v>12</v>
      </c>
      <c r="J2" s="3" t="s">
        <v>14</v>
      </c>
      <c r="K2" s="1"/>
      <c r="L2" s="1"/>
      <c r="M2" s="1">
        <f t="shared" ref="M2:M34" si="1">F2*0.85</f>
        <v>75.65</v>
      </c>
    </row>
    <row r="3">
      <c r="A3" s="5"/>
      <c r="B3" s="1"/>
      <c r="C3" s="6" t="s">
        <v>10</v>
      </c>
      <c r="D3" s="7">
        <v>211.0</v>
      </c>
      <c r="E3" s="8" t="s">
        <v>15</v>
      </c>
      <c r="F3" s="9">
        <v>340.0</v>
      </c>
      <c r="G3" s="10" t="s">
        <v>16</v>
      </c>
      <c r="H3" s="10" t="s">
        <v>17</v>
      </c>
      <c r="I3" s="10" t="s">
        <v>16</v>
      </c>
      <c r="J3" s="3" t="s">
        <v>14</v>
      </c>
      <c r="K3" s="1"/>
      <c r="L3" s="1"/>
      <c r="M3" s="1">
        <f t="shared" si="1"/>
        <v>289</v>
      </c>
    </row>
    <row r="4">
      <c r="A4" s="5"/>
      <c r="B4" s="1"/>
      <c r="C4" s="6" t="s">
        <v>10</v>
      </c>
      <c r="D4" s="7">
        <v>211.0</v>
      </c>
      <c r="E4" s="8" t="s">
        <v>18</v>
      </c>
      <c r="F4" s="9">
        <v>660.0</v>
      </c>
      <c r="G4" s="10" t="s">
        <v>19</v>
      </c>
      <c r="H4" s="10" t="s">
        <v>20</v>
      </c>
      <c r="I4" s="10" t="s">
        <v>19</v>
      </c>
      <c r="J4" s="3" t="s">
        <v>14</v>
      </c>
      <c r="K4" s="1"/>
      <c r="L4" s="1"/>
      <c r="M4" s="1">
        <f t="shared" si="1"/>
        <v>561</v>
      </c>
    </row>
    <row r="5">
      <c r="A5" s="5"/>
      <c r="B5" s="1"/>
      <c r="C5" s="6" t="s">
        <v>10</v>
      </c>
      <c r="D5" s="7">
        <v>211.0</v>
      </c>
      <c r="E5" s="8" t="s">
        <v>21</v>
      </c>
      <c r="F5" s="9">
        <v>888.0</v>
      </c>
      <c r="G5" s="10" t="s">
        <v>22</v>
      </c>
      <c r="H5" s="10" t="s">
        <v>23</v>
      </c>
      <c r="I5" s="10" t="s">
        <v>22</v>
      </c>
      <c r="J5" s="3" t="s">
        <v>14</v>
      </c>
      <c r="K5" s="1"/>
      <c r="L5" s="1"/>
      <c r="M5" s="1">
        <f t="shared" si="1"/>
        <v>754.8</v>
      </c>
    </row>
    <row r="6">
      <c r="A6" s="5"/>
      <c r="B6" s="1"/>
      <c r="C6" s="6" t="s">
        <v>10</v>
      </c>
      <c r="D6" s="7">
        <v>211.0</v>
      </c>
      <c r="E6" s="8" t="s">
        <v>24</v>
      </c>
      <c r="F6" s="9">
        <v>960.0</v>
      </c>
      <c r="G6" s="10" t="s">
        <v>25</v>
      </c>
      <c r="H6" s="10" t="s">
        <v>25</v>
      </c>
      <c r="I6" s="10" t="s">
        <v>25</v>
      </c>
      <c r="J6" s="9" t="s">
        <v>14</v>
      </c>
      <c r="K6" s="1"/>
      <c r="L6" s="1"/>
      <c r="M6" s="1">
        <f t="shared" si="1"/>
        <v>816</v>
      </c>
    </row>
    <row r="7">
      <c r="A7" s="1"/>
      <c r="B7" s="1"/>
      <c r="C7" s="6" t="s">
        <v>10</v>
      </c>
      <c r="D7" s="7">
        <v>211.0</v>
      </c>
      <c r="E7" s="8" t="s">
        <v>26</v>
      </c>
      <c r="F7" s="9">
        <v>1072.0</v>
      </c>
      <c r="G7" s="10" t="s">
        <v>27</v>
      </c>
      <c r="H7" s="10" t="s">
        <v>28</v>
      </c>
      <c r="I7" s="10" t="s">
        <v>27</v>
      </c>
      <c r="J7" s="3" t="s">
        <v>14</v>
      </c>
      <c r="K7" s="11"/>
      <c r="L7" s="1"/>
      <c r="M7" s="1">
        <f t="shared" si="1"/>
        <v>911.2</v>
      </c>
    </row>
    <row r="8">
      <c r="A8" s="1"/>
      <c r="B8" s="1"/>
      <c r="C8" s="6" t="s">
        <v>10</v>
      </c>
      <c r="D8" s="7">
        <v>211.0</v>
      </c>
      <c r="E8" s="8" t="s">
        <v>29</v>
      </c>
      <c r="F8" s="9">
        <v>1150.0</v>
      </c>
      <c r="G8" s="10" t="s">
        <v>30</v>
      </c>
      <c r="H8" s="10" t="s">
        <v>31</v>
      </c>
      <c r="I8" s="10" t="s">
        <v>30</v>
      </c>
      <c r="J8" s="3" t="s">
        <v>14</v>
      </c>
      <c r="K8" s="11"/>
      <c r="L8" s="1"/>
      <c r="M8" s="1">
        <f t="shared" si="1"/>
        <v>977.5</v>
      </c>
    </row>
    <row r="9">
      <c r="A9" s="1"/>
      <c r="B9" s="1"/>
      <c r="C9" s="6" t="s">
        <v>10</v>
      </c>
      <c r="D9" s="7">
        <v>211.0</v>
      </c>
      <c r="E9" s="8" t="s">
        <v>32</v>
      </c>
      <c r="F9" s="9">
        <v>1284.0</v>
      </c>
      <c r="G9" s="10" t="s">
        <v>33</v>
      </c>
      <c r="H9" s="10" t="s">
        <v>34</v>
      </c>
      <c r="I9" s="10" t="s">
        <v>33</v>
      </c>
      <c r="J9" s="3" t="s">
        <v>14</v>
      </c>
      <c r="K9" s="11"/>
      <c r="L9" s="1"/>
      <c r="M9" s="1">
        <f t="shared" si="1"/>
        <v>1091.4</v>
      </c>
    </row>
    <row r="10">
      <c r="A10" s="1"/>
      <c r="B10" s="1"/>
      <c r="C10" s="6" t="s">
        <v>10</v>
      </c>
      <c r="D10" s="7">
        <v>211.0</v>
      </c>
      <c r="E10" s="8" t="s">
        <v>35</v>
      </c>
      <c r="F10" s="9">
        <v>1498.0</v>
      </c>
      <c r="G10" s="10" t="s">
        <v>36</v>
      </c>
      <c r="H10" s="10" t="s">
        <v>37</v>
      </c>
      <c r="I10" s="10" t="s">
        <v>36</v>
      </c>
      <c r="J10" s="3" t="s">
        <v>14</v>
      </c>
      <c r="K10" s="11"/>
      <c r="L10" s="1"/>
      <c r="M10" s="1">
        <f t="shared" si="1"/>
        <v>1273.3</v>
      </c>
    </row>
    <row r="11">
      <c r="A11" s="1"/>
      <c r="B11" s="1"/>
      <c r="C11" s="6" t="s">
        <v>10</v>
      </c>
      <c r="D11" s="7">
        <v>211.0</v>
      </c>
      <c r="E11" s="8" t="s">
        <v>38</v>
      </c>
      <c r="F11" s="9">
        <v>1605.0</v>
      </c>
      <c r="G11" s="10" t="s">
        <v>39</v>
      </c>
      <c r="H11" s="10" t="s">
        <v>40</v>
      </c>
      <c r="I11" s="10" t="s">
        <v>39</v>
      </c>
      <c r="J11" s="12" t="s">
        <v>14</v>
      </c>
      <c r="K11" s="11"/>
      <c r="L11" s="1"/>
      <c r="M11" s="1">
        <f t="shared" si="1"/>
        <v>1364.25</v>
      </c>
    </row>
    <row r="12">
      <c r="A12" s="1"/>
      <c r="B12" s="1"/>
      <c r="C12" s="6" t="s">
        <v>10</v>
      </c>
      <c r="D12" s="7">
        <v>211.0</v>
      </c>
      <c r="E12" s="8" t="s">
        <v>41</v>
      </c>
      <c r="F12" s="9">
        <v>85.0</v>
      </c>
      <c r="G12" s="10" t="s">
        <v>42</v>
      </c>
      <c r="H12" s="10" t="s">
        <v>43</v>
      </c>
      <c r="I12" s="10" t="s">
        <v>42</v>
      </c>
      <c r="J12" s="12" t="s">
        <v>14</v>
      </c>
      <c r="K12" s="11"/>
      <c r="L12" s="1"/>
      <c r="M12" s="1">
        <f t="shared" si="1"/>
        <v>72.25</v>
      </c>
    </row>
    <row r="13">
      <c r="A13" s="1"/>
      <c r="B13" s="1"/>
      <c r="C13" s="6" t="s">
        <v>10</v>
      </c>
      <c r="D13" s="7">
        <v>211.0</v>
      </c>
      <c r="E13" s="8" t="s">
        <v>44</v>
      </c>
      <c r="F13" s="9">
        <v>316.0</v>
      </c>
      <c r="G13" s="10" t="s">
        <v>45</v>
      </c>
      <c r="H13" s="10" t="s">
        <v>46</v>
      </c>
      <c r="I13" s="10" t="s">
        <v>45</v>
      </c>
      <c r="J13" s="12" t="s">
        <v>14</v>
      </c>
      <c r="K13" s="11"/>
      <c r="L13" s="1"/>
      <c r="M13" s="1">
        <f t="shared" si="1"/>
        <v>268.6</v>
      </c>
    </row>
    <row r="14">
      <c r="A14" s="1"/>
      <c r="B14" s="1"/>
      <c r="C14" s="6" t="s">
        <v>10</v>
      </c>
      <c r="D14" s="7">
        <v>211.0</v>
      </c>
      <c r="E14" s="8" t="s">
        <v>47</v>
      </c>
      <c r="F14" s="9">
        <v>554.0</v>
      </c>
      <c r="G14" s="10" t="s">
        <v>48</v>
      </c>
      <c r="H14" s="10" t="s">
        <v>49</v>
      </c>
      <c r="I14" s="10" t="s">
        <v>48</v>
      </c>
      <c r="J14" s="12" t="s">
        <v>14</v>
      </c>
      <c r="K14" s="11"/>
      <c r="L14" s="1"/>
      <c r="M14" s="1">
        <f t="shared" si="1"/>
        <v>470.9</v>
      </c>
    </row>
    <row r="15">
      <c r="C15" s="6" t="s">
        <v>10</v>
      </c>
      <c r="D15" s="7">
        <v>211.0</v>
      </c>
      <c r="E15" s="8" t="s">
        <v>50</v>
      </c>
      <c r="F15" s="9">
        <v>696.0</v>
      </c>
      <c r="G15" s="10" t="s">
        <v>51</v>
      </c>
      <c r="H15" s="13" t="s">
        <v>52</v>
      </c>
      <c r="I15" s="10" t="s">
        <v>51</v>
      </c>
      <c r="J15" s="12" t="s">
        <v>14</v>
      </c>
      <c r="L15" s="1"/>
      <c r="M15" s="1">
        <f t="shared" si="1"/>
        <v>591.6</v>
      </c>
    </row>
    <row r="16">
      <c r="C16" s="6" t="s">
        <v>10</v>
      </c>
      <c r="D16" s="7">
        <v>211.0</v>
      </c>
      <c r="E16" s="8" t="s">
        <v>53</v>
      </c>
      <c r="F16" s="9">
        <v>762.0</v>
      </c>
      <c r="G16" s="10" t="s">
        <v>54</v>
      </c>
      <c r="H16" s="13" t="s">
        <v>55</v>
      </c>
      <c r="I16" s="10" t="s">
        <v>54</v>
      </c>
      <c r="J16" s="12" t="s">
        <v>14</v>
      </c>
      <c r="L16" s="1"/>
      <c r="M16" s="1">
        <f t="shared" si="1"/>
        <v>647.7</v>
      </c>
    </row>
    <row r="17">
      <c r="C17" s="6" t="s">
        <v>10</v>
      </c>
      <c r="D17" s="7">
        <v>211.0</v>
      </c>
      <c r="E17" s="8" t="s">
        <v>56</v>
      </c>
      <c r="F17" s="9">
        <v>824.0</v>
      </c>
      <c r="G17" s="10" t="s">
        <v>57</v>
      </c>
      <c r="H17" s="13" t="s">
        <v>58</v>
      </c>
      <c r="I17" s="10" t="s">
        <v>57</v>
      </c>
      <c r="J17" s="12" t="s">
        <v>14</v>
      </c>
      <c r="L17" s="1"/>
      <c r="M17" s="1">
        <f t="shared" si="1"/>
        <v>700.4</v>
      </c>
    </row>
    <row r="18">
      <c r="C18" s="6" t="s">
        <v>10</v>
      </c>
      <c r="D18" s="7">
        <v>211.0</v>
      </c>
      <c r="E18" s="8" t="s">
        <v>59</v>
      </c>
      <c r="F18" s="9">
        <v>950.0</v>
      </c>
      <c r="G18" s="10" t="s">
        <v>60</v>
      </c>
      <c r="H18" s="13" t="s">
        <v>61</v>
      </c>
      <c r="I18" s="10" t="s">
        <v>60</v>
      </c>
      <c r="J18" s="12" t="s">
        <v>14</v>
      </c>
      <c r="L18" s="1"/>
      <c r="M18" s="1">
        <f t="shared" si="1"/>
        <v>807.5</v>
      </c>
    </row>
    <row r="19">
      <c r="C19" s="6" t="s">
        <v>10</v>
      </c>
      <c r="D19" s="7">
        <v>211.0</v>
      </c>
      <c r="E19" s="8" t="s">
        <v>62</v>
      </c>
      <c r="F19" s="9">
        <v>1140.0</v>
      </c>
      <c r="G19" s="10" t="s">
        <v>63</v>
      </c>
      <c r="H19" s="13" t="s">
        <v>64</v>
      </c>
      <c r="I19" s="10" t="s">
        <v>63</v>
      </c>
      <c r="J19" s="12" t="s">
        <v>14</v>
      </c>
      <c r="L19" s="1"/>
      <c r="M19" s="1">
        <f t="shared" si="1"/>
        <v>969</v>
      </c>
    </row>
    <row r="20">
      <c r="C20" s="6" t="s">
        <v>10</v>
      </c>
      <c r="D20" s="7">
        <v>211.0</v>
      </c>
      <c r="E20" s="8" t="s">
        <v>65</v>
      </c>
      <c r="F20" s="9">
        <v>1330.0</v>
      </c>
      <c r="G20" s="10" t="s">
        <v>66</v>
      </c>
      <c r="H20" s="13" t="s">
        <v>67</v>
      </c>
      <c r="I20" s="10" t="s">
        <v>66</v>
      </c>
      <c r="J20" s="12" t="s">
        <v>14</v>
      </c>
      <c r="L20" s="1"/>
      <c r="M20" s="1">
        <f t="shared" si="1"/>
        <v>1130.5</v>
      </c>
    </row>
    <row r="21">
      <c r="C21" s="6" t="s">
        <v>10</v>
      </c>
      <c r="D21" s="7">
        <v>211.0</v>
      </c>
      <c r="E21" s="8" t="s">
        <v>68</v>
      </c>
      <c r="F21" s="9">
        <v>1425.0</v>
      </c>
      <c r="G21" s="10" t="s">
        <v>69</v>
      </c>
      <c r="H21" s="13" t="s">
        <v>70</v>
      </c>
      <c r="I21" s="10" t="s">
        <v>69</v>
      </c>
      <c r="J21" s="12" t="s">
        <v>14</v>
      </c>
      <c r="L21" s="1"/>
      <c r="M21" s="1">
        <f t="shared" si="1"/>
        <v>1211.25</v>
      </c>
    </row>
    <row r="22">
      <c r="C22" s="6" t="s">
        <v>10</v>
      </c>
      <c r="D22" s="7">
        <v>211.0</v>
      </c>
      <c r="E22" s="8" t="s">
        <v>71</v>
      </c>
      <c r="F22" s="9">
        <v>350.0</v>
      </c>
      <c r="G22" s="10" t="s">
        <v>72</v>
      </c>
      <c r="H22" s="13" t="s">
        <v>73</v>
      </c>
      <c r="I22" s="10" t="s">
        <v>72</v>
      </c>
      <c r="J22" s="12" t="s">
        <v>14</v>
      </c>
      <c r="L22" s="1"/>
      <c r="M22" s="1">
        <f t="shared" si="1"/>
        <v>297.5</v>
      </c>
    </row>
    <row r="23">
      <c r="C23" s="6" t="s">
        <v>10</v>
      </c>
      <c r="D23" s="7">
        <v>211.0</v>
      </c>
      <c r="E23" s="8" t="s">
        <v>74</v>
      </c>
      <c r="F23" s="9">
        <v>600.0</v>
      </c>
      <c r="G23" s="10" t="s">
        <v>75</v>
      </c>
      <c r="H23" s="13" t="s">
        <v>76</v>
      </c>
      <c r="I23" s="10" t="s">
        <v>75</v>
      </c>
      <c r="J23" s="12" t="s">
        <v>14</v>
      </c>
      <c r="L23" s="1"/>
      <c r="M23" s="1">
        <f t="shared" si="1"/>
        <v>510</v>
      </c>
    </row>
    <row r="24">
      <c r="C24" s="6" t="s">
        <v>10</v>
      </c>
      <c r="D24" s="7">
        <v>211.0</v>
      </c>
      <c r="E24" s="8" t="s">
        <v>77</v>
      </c>
      <c r="F24" s="9">
        <v>750.0</v>
      </c>
      <c r="G24" s="10" t="s">
        <v>78</v>
      </c>
      <c r="H24" s="13" t="s">
        <v>79</v>
      </c>
      <c r="I24" s="10" t="s">
        <v>78</v>
      </c>
      <c r="J24" s="12" t="s">
        <v>14</v>
      </c>
      <c r="L24" s="1"/>
      <c r="M24" s="1">
        <f t="shared" si="1"/>
        <v>637.5</v>
      </c>
    </row>
    <row r="25">
      <c r="C25" s="6" t="s">
        <v>10</v>
      </c>
      <c r="D25" s="7">
        <v>211.0</v>
      </c>
      <c r="E25" s="8" t="s">
        <v>80</v>
      </c>
      <c r="F25" s="9">
        <v>69.0</v>
      </c>
      <c r="G25" s="10" t="s">
        <v>81</v>
      </c>
      <c r="H25" s="13" t="s">
        <v>82</v>
      </c>
      <c r="I25" s="10" t="s">
        <v>81</v>
      </c>
      <c r="J25" s="12" t="s">
        <v>14</v>
      </c>
      <c r="L25" s="1"/>
      <c r="M25" s="1">
        <f t="shared" si="1"/>
        <v>58.65</v>
      </c>
    </row>
    <row r="26">
      <c r="C26" s="6" t="s">
        <v>10</v>
      </c>
      <c r="D26" s="7">
        <v>211.0</v>
      </c>
      <c r="E26" s="8" t="s">
        <v>83</v>
      </c>
      <c r="F26" s="9">
        <v>276.0</v>
      </c>
      <c r="G26" s="10" t="s">
        <v>84</v>
      </c>
      <c r="H26" s="13" t="s">
        <v>85</v>
      </c>
      <c r="I26" s="10" t="s">
        <v>84</v>
      </c>
      <c r="J26" s="12" t="s">
        <v>14</v>
      </c>
      <c r="L26" s="1"/>
      <c r="M26" s="1">
        <f t="shared" si="1"/>
        <v>234.6</v>
      </c>
    </row>
    <row r="27">
      <c r="C27" s="6" t="s">
        <v>10</v>
      </c>
      <c r="D27" s="7">
        <v>211.0</v>
      </c>
      <c r="E27" s="8" t="s">
        <v>86</v>
      </c>
      <c r="F27" s="9">
        <v>490.0</v>
      </c>
      <c r="G27" s="10" t="s">
        <v>87</v>
      </c>
      <c r="H27" s="13" t="s">
        <v>88</v>
      </c>
      <c r="I27" s="10" t="s">
        <v>87</v>
      </c>
      <c r="J27" s="12" t="s">
        <v>14</v>
      </c>
      <c r="L27" s="1"/>
      <c r="M27" s="1">
        <f t="shared" si="1"/>
        <v>416.5</v>
      </c>
    </row>
    <row r="28">
      <c r="C28" s="6" t="s">
        <v>10</v>
      </c>
      <c r="D28" s="7">
        <v>211.0</v>
      </c>
      <c r="E28" s="8" t="s">
        <v>89</v>
      </c>
      <c r="F28" s="9">
        <v>610.0</v>
      </c>
      <c r="G28" s="10" t="s">
        <v>90</v>
      </c>
      <c r="H28" s="13" t="s">
        <v>91</v>
      </c>
      <c r="I28" s="10" t="s">
        <v>90</v>
      </c>
      <c r="J28" s="12" t="s">
        <v>14</v>
      </c>
      <c r="L28" s="1"/>
      <c r="M28" s="1">
        <f t="shared" si="1"/>
        <v>518.5</v>
      </c>
    </row>
    <row r="29">
      <c r="C29" s="6" t="s">
        <v>10</v>
      </c>
      <c r="D29" s="7">
        <v>211.0</v>
      </c>
      <c r="E29" s="8" t="s">
        <v>92</v>
      </c>
      <c r="F29" s="9">
        <v>672.0</v>
      </c>
      <c r="G29" s="10" t="s">
        <v>93</v>
      </c>
      <c r="H29" s="13" t="s">
        <v>94</v>
      </c>
      <c r="I29" s="10" t="s">
        <v>93</v>
      </c>
      <c r="J29" s="12" t="s">
        <v>14</v>
      </c>
      <c r="L29" s="1"/>
      <c r="M29" s="1">
        <f t="shared" si="1"/>
        <v>571.2</v>
      </c>
    </row>
    <row r="30">
      <c r="C30" s="6" t="s">
        <v>10</v>
      </c>
      <c r="D30" s="7">
        <v>211.0</v>
      </c>
      <c r="E30" s="8" t="s">
        <v>95</v>
      </c>
      <c r="F30" s="9">
        <v>752.0</v>
      </c>
      <c r="G30" s="10" t="s">
        <v>96</v>
      </c>
      <c r="H30" s="13" t="s">
        <v>97</v>
      </c>
      <c r="I30" s="10" t="s">
        <v>96</v>
      </c>
      <c r="J30" s="12" t="s">
        <v>14</v>
      </c>
      <c r="L30" s="1"/>
      <c r="M30" s="1">
        <f t="shared" si="1"/>
        <v>639.2</v>
      </c>
    </row>
    <row r="31">
      <c r="C31" s="6" t="s">
        <v>10</v>
      </c>
      <c r="D31" s="7">
        <v>211.0</v>
      </c>
      <c r="E31" s="8" t="s">
        <v>98</v>
      </c>
      <c r="F31" s="9">
        <v>830.0</v>
      </c>
      <c r="G31" s="10" t="s">
        <v>99</v>
      </c>
      <c r="H31" s="13" t="s">
        <v>100</v>
      </c>
      <c r="I31" s="10" t="s">
        <v>99</v>
      </c>
      <c r="J31" s="12" t="s">
        <v>14</v>
      </c>
      <c r="L31" s="1"/>
      <c r="M31" s="1">
        <f t="shared" si="1"/>
        <v>705.5</v>
      </c>
    </row>
    <row r="32">
      <c r="C32" s="6" t="s">
        <v>10</v>
      </c>
      <c r="D32" s="7">
        <v>211.0</v>
      </c>
      <c r="E32" s="8" t="s">
        <v>101</v>
      </c>
      <c r="F32" s="9">
        <v>996.0</v>
      </c>
      <c r="G32" s="10" t="s">
        <v>102</v>
      </c>
      <c r="H32" s="13" t="s">
        <v>103</v>
      </c>
      <c r="I32" s="10" t="s">
        <v>102</v>
      </c>
      <c r="J32" s="12" t="s">
        <v>14</v>
      </c>
      <c r="L32" s="1"/>
      <c r="M32" s="1">
        <f t="shared" si="1"/>
        <v>846.6</v>
      </c>
    </row>
    <row r="33">
      <c r="C33" s="6" t="s">
        <v>10</v>
      </c>
      <c r="D33" s="7">
        <v>211.0</v>
      </c>
      <c r="E33" s="8" t="s">
        <v>104</v>
      </c>
      <c r="F33" s="14">
        <v>1162.0</v>
      </c>
      <c r="G33" s="15" t="s">
        <v>105</v>
      </c>
      <c r="H33" s="16" t="s">
        <v>106</v>
      </c>
      <c r="I33" s="10" t="s">
        <v>105</v>
      </c>
      <c r="J33" s="12" t="s">
        <v>14</v>
      </c>
      <c r="L33" s="1"/>
      <c r="M33" s="1">
        <f t="shared" si="1"/>
        <v>987.7</v>
      </c>
    </row>
    <row r="34">
      <c r="C34" s="6" t="s">
        <v>10</v>
      </c>
      <c r="D34" s="7">
        <v>211.0</v>
      </c>
      <c r="E34" s="8" t="s">
        <v>107</v>
      </c>
      <c r="F34" s="14">
        <v>1245.0</v>
      </c>
      <c r="G34" s="10" t="s">
        <v>108</v>
      </c>
      <c r="H34" s="16" t="s">
        <v>109</v>
      </c>
      <c r="I34" s="10" t="s">
        <v>108</v>
      </c>
      <c r="J34" s="12" t="s">
        <v>14</v>
      </c>
      <c r="L34" s="1"/>
      <c r="M34" s="1">
        <f t="shared" si="1"/>
        <v>1058.25</v>
      </c>
    </row>
    <row r="38">
      <c r="E38" s="8"/>
      <c r="F38" s="8"/>
      <c r="G38" s="8"/>
    </row>
    <row r="39">
      <c r="E39" s="8"/>
      <c r="F39" s="8"/>
      <c r="G39" s="8"/>
    </row>
    <row r="40">
      <c r="E40" s="8"/>
      <c r="F40" s="8"/>
      <c r="G40" s="8"/>
    </row>
    <row r="41">
      <c r="E41" s="8"/>
      <c r="F41" s="8"/>
      <c r="G41" s="8"/>
    </row>
    <row r="42">
      <c r="E42" s="8"/>
      <c r="F42" s="8"/>
      <c r="G42" s="8"/>
    </row>
    <row r="43">
      <c r="E43" s="8"/>
      <c r="F43" s="8"/>
      <c r="G43" s="8"/>
    </row>
  </sheetData>
  <drawing r:id="rId1"/>
</worksheet>
</file>